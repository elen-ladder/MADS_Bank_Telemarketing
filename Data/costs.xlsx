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ea4cf51d9f9a0de/Master Opleiding HAN/MADS_Bank_Telemarketing/Data/"/>
    </mc:Choice>
  </mc:AlternateContent>
  <xr:revisionPtr revIDLastSave="14" documentId="8_{290E542C-CB09-4A99-BCDE-708AA2D21C3A}" xr6:coauthVersionLast="47" xr6:coauthVersionMax="47" xr10:uidLastSave="{1E74F35D-B2E2-4D9E-B439-C84F8B9EBD9B}"/>
  <bookViews>
    <workbookView xWindow="-120" yWindow="-120" windowWidth="38640" windowHeight="21120" xr2:uid="{00000000-000D-0000-FFFF-FFFF00000000}"/>
  </bookViews>
  <sheets>
    <sheet name="cos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4" l="1"/>
  <c r="J21" i="4"/>
  <c r="J24" i="4"/>
  <c r="C11" i="4"/>
  <c r="B11" i="4"/>
  <c r="B10" i="4"/>
  <c r="B6" i="4"/>
  <c r="B21" i="4"/>
  <c r="B22" i="4" s="1"/>
</calcChain>
</file>

<file path=xl/sharedStrings.xml><?xml version="1.0" encoding="utf-8"?>
<sst xmlns="http://schemas.openxmlformats.org/spreadsheetml/2006/main" count="28" uniqueCount="19">
  <si>
    <t>average deposit</t>
  </si>
  <si>
    <t>bank profit (difference between the rate en euribor)</t>
  </si>
  <si>
    <t>euro</t>
  </si>
  <si>
    <t>days</t>
  </si>
  <si>
    <t>long-term, in average 2 years</t>
  </si>
  <si>
    <t>bank profit per deposit</t>
  </si>
  <si>
    <t>False negative cost</t>
  </si>
  <si>
    <t>Lost profit</t>
  </si>
  <si>
    <t>Image demage</t>
  </si>
  <si>
    <t>False positive cost</t>
  </si>
  <si>
    <t>average cost per call</t>
  </si>
  <si>
    <t>cost per minut</t>
  </si>
  <si>
    <t>min</t>
  </si>
  <si>
    <t>Call costs</t>
  </si>
  <si>
    <t>avarage call duration</t>
  </si>
  <si>
    <t>per year profit from 1 client</t>
  </si>
  <si>
    <t>losing 1 out of 100 customers due to intrusive marketing campagne</t>
  </si>
  <si>
    <t>Lost profit (Alternative)</t>
  </si>
  <si>
    <t>bank profit per deposit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</si>
</sst>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544C-2377-412E-8D80-09FD7E598360}">
  <dimension ref="A2:L24"/>
  <sheetViews>
    <sheetView tabSelected="1" workbookViewId="0">
      <selection activeCell="B24" sqref="B24"/>
    </sheetView>
  </sheetViews>
  <sheetFormatPr defaultRowHeight="15" x14ac:dyDescent="0.25"/>
  <cols>
    <col min="2" max="2" width="10" bestFit="1" customWidth="1"/>
    <col min="3" max="3" width="6.7109375" customWidth="1"/>
    <col min="10" max="10" width="10.140625" bestFit="1" customWidth="1"/>
  </cols>
  <sheetData>
    <row r="2" spans="1:4" ht="15.75" x14ac:dyDescent="0.25">
      <c r="B2" s="5" t="s">
        <v>9</v>
      </c>
    </row>
    <row r="3" spans="1:4" x14ac:dyDescent="0.25">
      <c r="B3" s="4" t="s">
        <v>13</v>
      </c>
    </row>
    <row r="4" spans="1:4" x14ac:dyDescent="0.25">
      <c r="A4">
        <v>1</v>
      </c>
      <c r="B4">
        <v>3</v>
      </c>
      <c r="C4" t="s">
        <v>2</v>
      </c>
      <c r="D4" t="s">
        <v>11</v>
      </c>
    </row>
    <row r="5" spans="1:4" x14ac:dyDescent="0.25">
      <c r="A5">
        <v>5</v>
      </c>
      <c r="B5">
        <v>8</v>
      </c>
      <c r="C5" t="s">
        <v>12</v>
      </c>
      <c r="D5" t="s">
        <v>14</v>
      </c>
    </row>
    <row r="6" spans="1:4" x14ac:dyDescent="0.25">
      <c r="B6" s="3">
        <f>(A4*A5+B4*B5)/2</f>
        <v>14.5</v>
      </c>
      <c r="C6" s="3" t="s">
        <v>2</v>
      </c>
      <c r="D6" t="s">
        <v>10</v>
      </c>
    </row>
    <row r="7" spans="1:4" x14ac:dyDescent="0.25">
      <c r="B7" s="3"/>
    </row>
    <row r="8" spans="1:4" x14ac:dyDescent="0.25">
      <c r="B8" s="4" t="s">
        <v>8</v>
      </c>
    </row>
    <row r="9" spans="1:4" x14ac:dyDescent="0.25">
      <c r="B9">
        <v>500</v>
      </c>
      <c r="C9" t="s">
        <v>2</v>
      </c>
      <c r="D9" t="s">
        <v>15</v>
      </c>
    </row>
    <row r="10" spans="1:4" x14ac:dyDescent="0.25">
      <c r="B10" s="7">
        <f>B9/100</f>
        <v>5</v>
      </c>
      <c r="C10" s="7" t="s">
        <v>2</v>
      </c>
      <c r="D10" t="s">
        <v>16</v>
      </c>
    </row>
    <row r="11" spans="1:4" x14ac:dyDescent="0.25">
      <c r="B11" s="3">
        <f>B6+B10</f>
        <v>19.5</v>
      </c>
      <c r="C11" s="3" t="str">
        <f>C10</f>
        <v>euro</v>
      </c>
    </row>
    <row r="12" spans="1:4" x14ac:dyDescent="0.25">
      <c r="B12" s="3"/>
    </row>
    <row r="16" spans="1:4" ht="15.75" x14ac:dyDescent="0.25">
      <c r="B16" s="6" t="s">
        <v>6</v>
      </c>
    </row>
    <row r="18" spans="2:12" x14ac:dyDescent="0.25">
      <c r="B18" s="4" t="s">
        <v>7</v>
      </c>
      <c r="J18" s="4" t="s">
        <v>17</v>
      </c>
    </row>
    <row r="19" spans="2:12" x14ac:dyDescent="0.25">
      <c r="B19" s="1">
        <v>100000</v>
      </c>
      <c r="C19" s="1" t="s">
        <v>2</v>
      </c>
      <c r="D19" t="s">
        <v>0</v>
      </c>
      <c r="J19" s="1">
        <v>25000</v>
      </c>
      <c r="K19" s="1" t="s">
        <v>2</v>
      </c>
      <c r="L19" t="s">
        <v>0</v>
      </c>
    </row>
    <row r="20" spans="2:12" x14ac:dyDescent="0.25">
      <c r="B20" s="2">
        <v>3.0000000000000001E-3</v>
      </c>
      <c r="C20" s="2"/>
      <c r="D20" t="s">
        <v>1</v>
      </c>
      <c r="J20" s="2">
        <v>3.0000000000000001E-3</v>
      </c>
      <c r="K20" s="2"/>
      <c r="L20" t="s">
        <v>1</v>
      </c>
    </row>
    <row r="21" spans="2:12" x14ac:dyDescent="0.25">
      <c r="B21">
        <f>365*2</f>
        <v>730</v>
      </c>
      <c r="C21" t="s">
        <v>3</v>
      </c>
      <c r="D21" t="s">
        <v>4</v>
      </c>
      <c r="J21">
        <f>J20*J19</f>
        <v>75</v>
      </c>
      <c r="L21" t="s">
        <v>18</v>
      </c>
    </row>
    <row r="22" spans="2:12" x14ac:dyDescent="0.25">
      <c r="B22" s="3">
        <f>B19*B20*B21/365</f>
        <v>600</v>
      </c>
      <c r="C22" s="3" t="s">
        <v>2</v>
      </c>
      <c r="D22" t="s">
        <v>5</v>
      </c>
      <c r="J22" s="3">
        <f>J21*2</f>
        <v>150</v>
      </c>
      <c r="K22" s="3" t="s">
        <v>2</v>
      </c>
    </row>
    <row r="24" spans="2:12" x14ac:dyDescent="0.25">
      <c r="J24">
        <f>J22*4640</f>
        <v>696000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 Kostina</dc:creator>
  <cp:lastModifiedBy>Peter van Noord</cp:lastModifiedBy>
  <dcterms:created xsi:type="dcterms:W3CDTF">2015-06-05T18:17:20Z</dcterms:created>
  <dcterms:modified xsi:type="dcterms:W3CDTF">2026-01-19T14:15:21Z</dcterms:modified>
</cp:coreProperties>
</file>